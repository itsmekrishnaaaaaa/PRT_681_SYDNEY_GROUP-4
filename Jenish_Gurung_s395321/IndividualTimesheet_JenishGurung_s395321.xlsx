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 5 Timesheet" sheetId="1" state="visible" r:id="rId3"/>
    <sheet name="Weekly Subtotal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<sst xmlns="http://schemas.openxmlformats.org/spreadsheetml/2006/main" count="91" uniqueCount="44">
  <si>
    <t xml:space="preserve">OraEarn — Weekly Timesheet</t>
  </si>
  <si>
    <t xml:space="preserve">Jenish — Business Analyst / Report Writer</t>
  </si>
  <si>
    <t xml:space="preserve">Week</t>
  </si>
  <si>
    <t xml:space="preserve">Date</t>
  </si>
  <si>
    <t xml:space="preserve">Role</t>
  </si>
  <si>
    <t xml:space="preserve">Task</t>
  </si>
  <si>
    <t xml:space="preserve">Hours</t>
  </si>
  <si>
    <t xml:space="preserve">Week 1</t>
  </si>
  <si>
    <t xml:space="preserve">Business Analyst</t>
  </si>
  <si>
    <t xml:space="preserve">Joined project team; participated in team/group formation discussions</t>
  </si>
  <si>
    <t xml:space="preserve">Reviewed basic tools required for the semester</t>
  </si>
  <si>
    <t xml:space="preserve">Report Writer</t>
  </si>
  <si>
    <t xml:space="preserve">Set up GitHub repository access; confirmed lecturer as contributor</t>
  </si>
  <si>
    <t xml:space="preserve">Reviewed reporting/documentation expectations and logging format</t>
  </si>
  <si>
    <t xml:space="preserve">Week 2</t>
  </si>
  <si>
    <t xml:space="preserve">Began SRS document for OraEarn</t>
  </si>
  <si>
    <t xml:space="preserve">Started requirements gathering (core feature list)</t>
  </si>
  <si>
    <t xml:space="preserve">Set up initial SRS document structure/template</t>
  </si>
  <si>
    <t xml:space="preserve">Recorded early feature list and problem statement</t>
  </si>
  <si>
    <t xml:space="preserve">Week 3</t>
  </si>
  <si>
    <t xml:space="preserve">Refined functional requirements per feature area</t>
  </si>
  <si>
    <t xml:space="preserve">Reviewed target user groups to validate requirement priorities</t>
  </si>
  <si>
    <t xml:space="preserve">Continued drafting SRS sections</t>
  </si>
  <si>
    <t xml:space="preserve">Documented team discussion notes and decisions</t>
  </si>
  <si>
    <t xml:space="preserve">Week 4</t>
  </si>
  <si>
    <t xml:space="preserve">Studied data analysis fundamentals (Excel/SQL)</t>
  </si>
  <si>
    <t xml:space="preserve">Completed Business Process Mapping module (LinkedIn Learning)</t>
  </si>
  <si>
    <t xml:space="preserve">Reviewed team ERD and identified gaps</t>
  </si>
  <si>
    <t xml:space="preserve">Attended Business Analyst peer group meeting (11 Aug)</t>
  </si>
  <si>
    <t xml:space="preserve">Practised Excel/SQL basics for reporting</t>
  </si>
  <si>
    <t xml:space="preserve">Prepared documentation ahead of peer group session</t>
  </si>
  <si>
    <t xml:space="preserve">Week 5</t>
  </si>
  <si>
    <t xml:space="preserve">Studied context diagram principles (LinkedIn Learning)</t>
  </si>
  <si>
    <t xml:space="preserve">Built OraEarn Context Diagram</t>
  </si>
  <si>
    <t xml:space="preserve">Cross-checked diagram against BRD/SRS</t>
  </si>
  <si>
    <t xml:space="preserve">Finalised BRD document</t>
  </si>
  <si>
    <t xml:space="preserve">Documented Context Diagram for report</t>
  </si>
  <si>
    <t xml:space="preserve">Prepared material for BA peer group session (18 Aug)</t>
  </si>
  <si>
    <t xml:space="preserve">Total hours</t>
  </si>
  <si>
    <t xml:space="preserve">OraEarn — Weekly Hours Subtotal</t>
  </si>
  <si>
    <t xml:space="preserve">Business Analyst Hours</t>
  </si>
  <si>
    <t xml:space="preserve">Report Writer Hours</t>
  </si>
  <si>
    <t xml:space="preserve">Total</t>
  </si>
  <si>
    <t xml:space="preserve">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</si>
</sst>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2"/>
      <name val="Arial"/>
      <family val="0"/>
      <charset val="1"/>
    </font>
    <font>
      <b val="true"/>
      <sz val="12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/>
      <c r="C5" s="4" t="s">
        <v>8</v>
      </c>
      <c r="D5" s="4" t="s">
        <v>9</v>
      </c>
      <c r="E5" s="5" t="n">
        <v>1.5</v>
      </c>
    </row>
    <row r="6" customFormat="false" ht="15" hidden="false" customHeight="false" outlineLevel="0" collapsed="false">
      <c r="A6" s="4" t="s">
        <v>7</v>
      </c>
      <c r="B6" s="5"/>
      <c r="C6" s="4" t="s">
        <v>8</v>
      </c>
      <c r="D6" s="4" t="s">
        <v>10</v>
      </c>
      <c r="E6" s="5" t="n">
        <v>1.5</v>
      </c>
    </row>
    <row r="7" customFormat="false" ht="15" hidden="false" customHeight="false" outlineLevel="0" collapsed="false">
      <c r="A7" s="4" t="s">
        <v>7</v>
      </c>
      <c r="B7" s="5"/>
      <c r="C7" s="4" t="s">
        <v>11</v>
      </c>
      <c r="D7" s="4" t="s">
        <v>12</v>
      </c>
      <c r="E7" s="5" t="n">
        <v>1.5</v>
      </c>
    </row>
    <row r="8" customFormat="false" ht="15" hidden="false" customHeight="false" outlineLevel="0" collapsed="false">
      <c r="A8" s="4" t="s">
        <v>7</v>
      </c>
      <c r="B8" s="5"/>
      <c r="C8" s="4" t="s">
        <v>11</v>
      </c>
      <c r="D8" s="4" t="s">
        <v>13</v>
      </c>
      <c r="E8" s="5" t="n">
        <v>1.5</v>
      </c>
    </row>
    <row r="9" customFormat="false" ht="15" hidden="false" customHeight="false" outlineLevel="0" collapsed="false">
      <c r="A9" s="4" t="s">
        <v>14</v>
      </c>
      <c r="B9" s="5"/>
      <c r="C9" s="4" t="s">
        <v>8</v>
      </c>
      <c r="D9" s="4" t="s">
        <v>15</v>
      </c>
      <c r="E9" s="5" t="n">
        <v>1.5</v>
      </c>
    </row>
    <row r="10" customFormat="false" ht="15" hidden="false" customHeight="false" outlineLevel="0" collapsed="false">
      <c r="A10" s="4" t="s">
        <v>14</v>
      </c>
      <c r="B10" s="5"/>
      <c r="C10" s="4" t="s">
        <v>8</v>
      </c>
      <c r="D10" s="4" t="s">
        <v>16</v>
      </c>
      <c r="E10" s="5" t="n">
        <v>1.5</v>
      </c>
    </row>
    <row r="11" customFormat="false" ht="15" hidden="false" customHeight="false" outlineLevel="0" collapsed="false">
      <c r="A11" s="4" t="s">
        <v>14</v>
      </c>
      <c r="B11" s="5"/>
      <c r="C11" s="4" t="s">
        <v>11</v>
      </c>
      <c r="D11" s="4" t="s">
        <v>17</v>
      </c>
      <c r="E11" s="5" t="n">
        <v>1.5</v>
      </c>
    </row>
    <row r="12" customFormat="false" ht="15" hidden="false" customHeight="false" outlineLevel="0" collapsed="false">
      <c r="A12" s="4" t="s">
        <v>14</v>
      </c>
      <c r="B12" s="5"/>
      <c r="C12" s="4" t="s">
        <v>11</v>
      </c>
      <c r="D12" s="4" t="s">
        <v>18</v>
      </c>
      <c r="E12" s="5" t="n">
        <v>1.5</v>
      </c>
    </row>
    <row r="13" customFormat="false" ht="15" hidden="false" customHeight="false" outlineLevel="0" collapsed="false">
      <c r="A13" s="4" t="s">
        <v>19</v>
      </c>
      <c r="B13" s="5"/>
      <c r="C13" s="4" t="s">
        <v>8</v>
      </c>
      <c r="D13" s="4" t="s">
        <v>20</v>
      </c>
      <c r="E13" s="5" t="n">
        <v>1.5</v>
      </c>
    </row>
    <row r="14" customFormat="false" ht="15" hidden="false" customHeight="false" outlineLevel="0" collapsed="false">
      <c r="A14" s="4" t="s">
        <v>19</v>
      </c>
      <c r="B14" s="5"/>
      <c r="C14" s="4" t="s">
        <v>8</v>
      </c>
      <c r="D14" s="4" t="s">
        <v>21</v>
      </c>
      <c r="E14" s="5" t="n">
        <v>1.5</v>
      </c>
    </row>
    <row r="15" customFormat="false" ht="15" hidden="false" customHeight="false" outlineLevel="0" collapsed="false">
      <c r="A15" s="4" t="s">
        <v>19</v>
      </c>
      <c r="B15" s="5"/>
      <c r="C15" s="4" t="s">
        <v>11</v>
      </c>
      <c r="D15" s="4" t="s">
        <v>22</v>
      </c>
      <c r="E15" s="5" t="n">
        <v>1.5</v>
      </c>
    </row>
    <row r="16" customFormat="false" ht="15" hidden="false" customHeight="false" outlineLevel="0" collapsed="false">
      <c r="A16" s="4" t="s">
        <v>19</v>
      </c>
      <c r="B16" s="5"/>
      <c r="C16" s="4" t="s">
        <v>11</v>
      </c>
      <c r="D16" s="4" t="s">
        <v>23</v>
      </c>
      <c r="E16" s="5" t="n">
        <v>1.5</v>
      </c>
    </row>
    <row r="17" customFormat="false" ht="15" hidden="false" customHeight="false" outlineLevel="0" collapsed="false">
      <c r="A17" s="4" t="s">
        <v>24</v>
      </c>
      <c r="B17" s="5"/>
      <c r="C17" s="4" t="s">
        <v>8</v>
      </c>
      <c r="D17" s="4" t="s">
        <v>25</v>
      </c>
      <c r="E17" s="5" t="n">
        <v>1</v>
      </c>
    </row>
    <row r="18" customFormat="false" ht="15" hidden="false" customHeight="false" outlineLevel="0" collapsed="false">
      <c r="A18" s="4" t="s">
        <v>24</v>
      </c>
      <c r="B18" s="5"/>
      <c r="C18" s="4" t="s">
        <v>8</v>
      </c>
      <c r="D18" s="4" t="s">
        <v>26</v>
      </c>
      <c r="E18" s="5" t="n">
        <v>1</v>
      </c>
    </row>
    <row r="19" customFormat="false" ht="15" hidden="false" customHeight="false" outlineLevel="0" collapsed="false">
      <c r="A19" s="4" t="s">
        <v>24</v>
      </c>
      <c r="B19" s="5"/>
      <c r="C19" s="4" t="s">
        <v>8</v>
      </c>
      <c r="D19" s="4" t="s">
        <v>27</v>
      </c>
      <c r="E19" s="5" t="n">
        <v>1</v>
      </c>
    </row>
    <row r="20" customFormat="false" ht="15" hidden="false" customHeight="false" outlineLevel="0" collapsed="false">
      <c r="A20" s="4" t="s">
        <v>24</v>
      </c>
      <c r="B20" s="5"/>
      <c r="C20" s="4" t="s">
        <v>8</v>
      </c>
      <c r="D20" s="4" t="s">
        <v>28</v>
      </c>
      <c r="E20" s="5" t="n">
        <v>0.5</v>
      </c>
    </row>
    <row r="21" customFormat="false" ht="15" hidden="false" customHeight="false" outlineLevel="0" collapsed="false">
      <c r="A21" s="4" t="s">
        <v>24</v>
      </c>
      <c r="B21" s="5"/>
      <c r="C21" s="4" t="s">
        <v>11</v>
      </c>
      <c r="D21" s="4" t="s">
        <v>29</v>
      </c>
      <c r="E21" s="5" t="n">
        <v>1.5</v>
      </c>
    </row>
    <row r="22" customFormat="false" ht="15" hidden="false" customHeight="false" outlineLevel="0" collapsed="false">
      <c r="A22" s="4" t="s">
        <v>24</v>
      </c>
      <c r="B22" s="5"/>
      <c r="C22" s="4" t="s">
        <v>11</v>
      </c>
      <c r="D22" s="4" t="s">
        <v>30</v>
      </c>
      <c r="E22" s="5" t="n">
        <v>1</v>
      </c>
    </row>
    <row r="23" customFormat="false" ht="15" hidden="false" customHeight="false" outlineLevel="0" collapsed="false">
      <c r="A23" s="4" t="s">
        <v>31</v>
      </c>
      <c r="B23" s="5"/>
      <c r="C23" s="4" t="s">
        <v>8</v>
      </c>
      <c r="D23" s="4" t="s">
        <v>32</v>
      </c>
      <c r="E23" s="5" t="n">
        <v>1</v>
      </c>
    </row>
    <row r="24" customFormat="false" ht="15" hidden="false" customHeight="false" outlineLevel="0" collapsed="false">
      <c r="A24" s="4" t="s">
        <v>31</v>
      </c>
      <c r="B24" s="5"/>
      <c r="C24" s="4" t="s">
        <v>8</v>
      </c>
      <c r="D24" s="4" t="s">
        <v>33</v>
      </c>
      <c r="E24" s="5" t="n">
        <v>1.5</v>
      </c>
    </row>
    <row r="25" customFormat="false" ht="15" hidden="false" customHeight="false" outlineLevel="0" collapsed="false">
      <c r="A25" s="4" t="s">
        <v>31</v>
      </c>
      <c r="B25" s="5"/>
      <c r="C25" s="4" t="s">
        <v>8</v>
      </c>
      <c r="D25" s="4" t="s">
        <v>34</v>
      </c>
      <c r="E25" s="5" t="n">
        <v>0.5</v>
      </c>
    </row>
    <row r="26" customFormat="false" ht="15" hidden="false" customHeight="false" outlineLevel="0" collapsed="false">
      <c r="A26" s="4" t="s">
        <v>31</v>
      </c>
      <c r="B26" s="5"/>
      <c r="C26" s="4" t="s">
        <v>11</v>
      </c>
      <c r="D26" s="4" t="s">
        <v>35</v>
      </c>
      <c r="E26" s="5" t="n">
        <v>1.5</v>
      </c>
    </row>
    <row r="27" customFormat="false" ht="15" hidden="false" customHeight="false" outlineLevel="0" collapsed="false">
      <c r="A27" s="4" t="s">
        <v>31</v>
      </c>
      <c r="B27" s="5"/>
      <c r="C27" s="4" t="s">
        <v>11</v>
      </c>
      <c r="D27" s="4" t="s">
        <v>36</v>
      </c>
      <c r="E27" s="5" t="n">
        <v>0.5</v>
      </c>
    </row>
    <row r="28" customFormat="false" ht="15" hidden="false" customHeight="false" outlineLevel="0" collapsed="false">
      <c r="A28" s="4" t="s">
        <v>31</v>
      </c>
      <c r="B28" s="5"/>
      <c r="C28" s="4" t="s">
        <v>11</v>
      </c>
      <c r="D28" s="4" t="s">
        <v>37</v>
      </c>
      <c r="E28" s="5" t="n">
        <v>1</v>
      </c>
    </row>
    <row r="29" customFormat="false" ht="15" hidden="false" customHeight="false" outlineLevel="0" collapsed="false">
      <c r="A29" s="6"/>
      <c r="B29" s="6"/>
      <c r="C29" s="6"/>
      <c r="D29" s="7" t="s">
        <v>38</v>
      </c>
      <c r="E29" s="8" t="n">
        <f aca="false">SUM(E5:E28)</f>
        <v>30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39</v>
      </c>
      <c r="B1" s="1"/>
      <c r="C1" s="1"/>
    </row>
    <row r="3" customFormat="false" ht="15" hidden="false" customHeight="false" outlineLevel="0" collapsed="false">
      <c r="A3" s="3" t="s">
        <v>2</v>
      </c>
      <c r="B3" s="3" t="s">
        <v>40</v>
      </c>
      <c r="C3" s="3" t="s">
        <v>41</v>
      </c>
      <c r="D3" s="3" t="s">
        <v>42</v>
      </c>
    </row>
    <row r="4" customFormat="false" ht="15" hidden="false" customHeight="false" outlineLevel="0" collapsed="false">
      <c r="A4" s="5" t="s">
        <v>7</v>
      </c>
      <c r="B4" s="5" t="n">
        <f aca="false">SUMIFS('Week 5 Timesheet'!E:E,'Week 5 Timesheet'!A:A,"Week 1",'Week 5 Timesheet'!C:C,"Business Analyst")</f>
        <v>3</v>
      </c>
      <c r="C4" s="5" t="n">
        <f aca="false">SUMIFS('Week 5 Timesheet'!E:E,'Week 5 Timesheet'!A:A,"Week 1",'Week 5 Timesheet'!C:C,"Report Writer")</f>
        <v>3</v>
      </c>
      <c r="D4" s="5" t="n">
        <f aca="false">B4+C4</f>
        <v>6</v>
      </c>
    </row>
    <row r="5" customFormat="false" ht="15" hidden="false" customHeight="false" outlineLevel="0" collapsed="false">
      <c r="A5" s="5" t="s">
        <v>14</v>
      </c>
      <c r="B5" s="5" t="n">
        <f aca="false">SUMIFS('Week 5 Timesheet'!E:E,'Week 5 Timesheet'!A:A,"Week 2",'Week 5 Timesheet'!C:C,"Business Analyst")</f>
        <v>3</v>
      </c>
      <c r="C5" s="5" t="n">
        <f aca="false">SUMIFS('Week 5 Timesheet'!E:E,'Week 5 Timesheet'!A:A,"Week 2",'Week 5 Timesheet'!C:C,"Report Writer")</f>
        <v>3</v>
      </c>
      <c r="D5" s="5" t="n">
        <f aca="false">B5+C5</f>
        <v>6</v>
      </c>
    </row>
    <row r="6" customFormat="false" ht="15" hidden="false" customHeight="false" outlineLevel="0" collapsed="false">
      <c r="A6" s="5" t="s">
        <v>19</v>
      </c>
      <c r="B6" s="5" t="n">
        <f aca="false">SUMIFS('Week 5 Timesheet'!E:E,'Week 5 Timesheet'!A:A,"Week 3",'Week 5 Timesheet'!C:C,"Business Analyst")</f>
        <v>3</v>
      </c>
      <c r="C6" s="5" t="n">
        <f aca="false">SUMIFS('Week 5 Timesheet'!E:E,'Week 5 Timesheet'!A:A,"Week 3",'Week 5 Timesheet'!C:C,"Report Writer")</f>
        <v>3</v>
      </c>
      <c r="D6" s="5" t="n">
        <f aca="false">B6+C6</f>
        <v>6</v>
      </c>
    </row>
    <row r="7" customFormat="false" ht="15" hidden="false" customHeight="false" outlineLevel="0" collapsed="false">
      <c r="A7" s="5" t="s">
        <v>24</v>
      </c>
      <c r="B7" s="5" t="n">
        <f aca="false">SUMIFS('Week 5 Timesheet'!E:E,'Week 5 Timesheet'!A:A,"Week 4",'Week 5 Timesheet'!C:C,"Business Analyst")</f>
        <v>3.5</v>
      </c>
      <c r="C7" s="5" t="n">
        <f aca="false">SUMIFS('Week 5 Timesheet'!E:E,'Week 5 Timesheet'!A:A,"Week 4",'Week 5 Timesheet'!C:C,"Report Writer")</f>
        <v>2.5</v>
      </c>
      <c r="D7" s="5" t="n">
        <f aca="false">B7+C7</f>
        <v>6</v>
      </c>
    </row>
    <row r="8" customFormat="false" ht="15" hidden="false" customHeight="false" outlineLevel="0" collapsed="false">
      <c r="A8" s="5" t="s">
        <v>31</v>
      </c>
      <c r="B8" s="5" t="n">
        <f aca="false">SUMIFS('Week 5 Timesheet'!E:E,'Week 5 Timesheet'!A:A,"Week 5",'Week 5 Timesheet'!C:C,"Business Analyst")</f>
        <v>3</v>
      </c>
      <c r="C8" s="5" t="n">
        <f aca="false">SUMIFS('Week 5 Timesheet'!E:E,'Week 5 Timesheet'!A:A,"Week 5",'Week 5 Timesheet'!C:C,"Report Writer")</f>
        <v>3</v>
      </c>
      <c r="D8" s="5" t="n">
        <f aca="false">B8+C8</f>
        <v>6</v>
      </c>
    </row>
    <row r="9" customFormat="false" ht="15" hidden="false" customHeight="false" outlineLevel="0" collapsed="false">
      <c r="A9" s="9" t="s">
        <v>43</v>
      </c>
      <c r="B9" s="9" t="n">
        <f aca="false">SUM(B4:B8)</f>
        <v>15.5</v>
      </c>
      <c r="C9" s="9" t="n">
        <f aca="false">SUM(C4:C8)</f>
        <v>14.5</v>
      </c>
      <c r="D9" s="9" t="n">
        <f aca="false">SUM(D4:D8)</f>
        <v>30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2026-09-01T05:39:31Z</dcterms:created>
  <dc:creator>openpyxl</dc:creator>
  <dc:description/>
  <dc:language>en-US</dc:language>
  <cp:lastModifiedBy/>
  <dcterms:modified xsi:type="dcterms:W3CDTF">2026-09-01T05:39:31Z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